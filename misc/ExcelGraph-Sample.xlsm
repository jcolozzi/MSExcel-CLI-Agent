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K:\Workgrp\PERSONAL SHARE\Colozzi\Access Agent\MSExcel-agent\misc\"/>
    </mc:Choice>
  </mc:AlternateContent>
  <xr:revisionPtr revIDLastSave="0" documentId="13_ncr:1_{A7C4363F-A37F-411B-8009-2106BEF5F10D}" xr6:coauthVersionLast="47" xr6:coauthVersionMax="47" xr10:uidLastSave="{00000000-0000-0000-0000-000000000000}"/>
  <bookViews>
    <workbookView xWindow="28800" yWindow="348" windowWidth="17280" windowHeight="8880" firstSheet="6" activeTab="8" xr2:uid="{03D4BDBB-1A86-4986-B1A2-5E39D16539CF}"/>
  </bookViews>
  <sheets>
    <sheet name="Customers" sheetId="1" r:id="rId1"/>
    <sheet name="Categories" sheetId="2" r:id="rId2"/>
    <sheet name="Products" sheetId="3" r:id="rId3"/>
    <sheet name="Employees" sheetId="4" r:id="rId4"/>
    <sheet name="Orders" sheetId="5" r:id="rId5"/>
    <sheet name="OrderDetails" sheetId="6" r:id="rId6"/>
    <sheet name="Lookups" sheetId="7" r:id="rId7"/>
    <sheet name="Dashboard" sheetId="8" r:id="rId8"/>
    <sheet name="PivotSheet" sheetId="9" r:id="rId9"/>
  </sheets>
  <definedNames>
    <definedName name="_xlcn.LinkedTable_Categories" hidden="1">Categories[]</definedName>
    <definedName name="_xlcn.LinkedTable_Customers" hidden="1">Customers[]</definedName>
    <definedName name="_xlcn.LinkedTable_Employees" hidden="1">Employees[]</definedName>
    <definedName name="_xlcn.LinkedTable_OrderDetails" hidden="1">OrderDetails[]</definedName>
    <definedName name="_xlcn.LinkedTable_Orders" hidden="1">Orders[]</definedName>
    <definedName name="_xlcn.LinkedTable_Products" hidden="1">Products[]</definedName>
    <definedName name="TaxRate">Lookups!$B$1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" name="Customers" connection="LinkedTable_Customers"/>
          <x15:modelTable id="Categories" name="Categories" connection="LinkedTable_Categories"/>
          <x15:modelTable id="Products" name="Products" connection="LinkedTable_Products"/>
          <x15:modelTable id="Employees" name="Employees" connection="LinkedTable_Employees"/>
          <x15:modelTable id="Orders" name="Orders" connection="LinkedTable_Orders"/>
          <x15:modelTable id="OrderDetails" name="OrderDetails" connection="LinkedTable_OrderDetails"/>
        </x15:modelTables>
        <x15:modelRelationships>
          <x15:modelRelationship fromTable="Products" fromColumn="CategoryID" toTable="Categories" toColumn="CategoryID"/>
          <x15:modelRelationship fromTable="Orders" fromColumn="CustomerID" toTable="Customers" toColumn="CustomerID"/>
          <x15:modelRelationship fromTable="Orders" fromColumn="EmployeeID" toTable="Employees" toColumn="EmployeeID"/>
          <x15:modelRelationship fromTable="OrderDetails" fromColumn="OrderID" toTable="Orders" toColumn="OrderID"/>
          <x15:modelRelationship fromTable="OrderDetails" fromColumn="ProductID" toTable="Products" toColumn="Product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1" i="8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96201-F5E7-421A-B488-30C0ECF773EE}" name="LinkedTable_Categories" description="Data Model: Categories" type="102" refreshedVersion="8" minRefreshableVersion="5">
    <extLst>
      <ext xmlns:x15="http://schemas.microsoft.com/office/spreadsheetml/2010/11/main" uri="{DE250136-89BD-433C-8126-D09CA5730AF9}">
        <x15:connection id="Categories">
          <x15:rangePr sourceName="_xlcn.LinkedTable_Categories"/>
        </x15:connection>
      </ext>
    </extLst>
  </connection>
  <connection id="2" xr16:uid="{E42AA2AC-B4BE-4DDE-870C-F486F963B610}" name="LinkedTable_Customers" description="Data Model: Customers" type="102" refreshedVersion="8" minRefreshableVersion="5">
    <extLst>
      <ext xmlns:x15="http://schemas.microsoft.com/office/spreadsheetml/2010/11/main" uri="{DE250136-89BD-433C-8126-D09CA5730AF9}">
        <x15:connection id="Customers">
          <x15:rangePr sourceName="_xlcn.LinkedTable_Customers"/>
        </x15:connection>
      </ext>
    </extLst>
  </connection>
  <connection id="3" xr16:uid="{77149490-A856-4C67-B4E4-0E259AE7A095}" name="LinkedTable_Employees" description="Data Model: Employees" type="102" refreshedVersion="8" minRefreshableVersion="5">
    <extLst>
      <ext xmlns:x15="http://schemas.microsoft.com/office/spreadsheetml/2010/11/main" uri="{DE250136-89BD-433C-8126-D09CA5730AF9}">
        <x15:connection id="Employees">
          <x15:rangePr sourceName="_xlcn.LinkedTable_Employees"/>
        </x15:connection>
      </ext>
    </extLst>
  </connection>
  <connection id="4" xr16:uid="{3E72F261-5BC6-4323-91BE-8DDBC8965ABD}" name="LinkedTable_OrderDetails" description="Data Model: OrderDetails" type="102" refreshedVersion="8" minRefreshableVersion="5">
    <extLst>
      <ext xmlns:x15="http://schemas.microsoft.com/office/spreadsheetml/2010/11/main" uri="{DE250136-89BD-433C-8126-D09CA5730AF9}">
        <x15:connection id="OrderDetails">
          <x15:rangePr sourceName="_xlcn.LinkedTable_OrderDetails"/>
        </x15:connection>
      </ext>
    </extLst>
  </connection>
  <connection id="5" xr16:uid="{22B7D7E6-90C1-47F4-90CD-9DC1D2E0F0F5}" name="LinkedTable_Orders" description="Data Model: Orders" type="102" refreshedVersion="8" minRefreshableVersion="5">
    <extLst>
      <ext xmlns:x15="http://schemas.microsoft.com/office/spreadsheetml/2010/11/main" uri="{DE250136-89BD-433C-8126-D09CA5730AF9}">
        <x15:connection id="Orders">
          <x15:rangePr sourceName="_xlcn.LinkedTable_Orders"/>
        </x15:connection>
      </ext>
    </extLst>
  </connection>
  <connection id="6" xr16:uid="{142BB91B-A12B-410E-9B0A-0F01C1979686}" name="LinkedTable_Products" description="Data Model: Products" type="102" refreshedVersion="8" minRefreshableVersion="5">
    <extLst>
      <ext xmlns:x15="http://schemas.microsoft.com/office/spreadsheetml/2010/11/main" uri="{DE250136-89BD-433C-8126-D09CA5730AF9}">
        <x15:connection id="Products">
          <x15:rangePr sourceName="_xlcn.LinkedTable_Products"/>
        </x15:connection>
      </ext>
    </extLst>
  </connection>
  <connection id="7" xr16:uid="{18F3FD36-7857-4305-8D88-926600A57E4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<sst xmlns="http://schemas.openxmlformats.org/spreadsheetml/2006/main" count="77" uniqueCount="63">
  <si>
    <t>CustomerID</t>
  </si>
  <si>
    <t>CustomerName</t>
  </si>
  <si>
    <t>City</t>
  </si>
  <si>
    <t>Alpha Foods</t>
  </si>
  <si>
    <t>Seattle</t>
  </si>
  <si>
    <t>Bravo Market</t>
  </si>
  <si>
    <t>Portland</t>
  </si>
  <si>
    <t>Cascade Grocery</t>
  </si>
  <si>
    <t>Boise</t>
  </si>
  <si>
    <t>Delta Deli</t>
  </si>
  <si>
    <t>Reno</t>
  </si>
  <si>
    <t>Echo Eats</t>
  </si>
  <si>
    <t>Tacoma</t>
  </si>
  <si>
    <t>Foxtrot Fresh</t>
  </si>
  <si>
    <t>Salem</t>
  </si>
  <si>
    <t>Golf Grocers</t>
  </si>
  <si>
    <t>Eugene</t>
  </si>
  <si>
    <t>Hotel Pantry</t>
  </si>
  <si>
    <t>Spokane</t>
  </si>
  <si>
    <t>CategoryID</t>
  </si>
  <si>
    <t>CategoryName</t>
  </si>
  <si>
    <t>Beverages</t>
  </si>
  <si>
    <t>Condiments</t>
  </si>
  <si>
    <t>Confections</t>
  </si>
  <si>
    <t>Produce</t>
  </si>
  <si>
    <t>ProductID</t>
  </si>
  <si>
    <t>ProductName</t>
  </si>
  <si>
    <t>UnitPrice</t>
  </si>
  <si>
    <t>Chai</t>
  </si>
  <si>
    <t>Chang</t>
  </si>
  <si>
    <t>Aniseed Syrup</t>
  </si>
  <si>
    <t>Cajun Season</t>
  </si>
  <si>
    <t>Gumbo Mix</t>
  </si>
  <si>
    <t>Marmalade</t>
  </si>
  <si>
    <t>Scones</t>
  </si>
  <si>
    <t>Pavlova</t>
  </si>
  <si>
    <t>Tofu</t>
  </si>
  <si>
    <t>Dried Pears</t>
  </si>
  <si>
    <t>Green Tea</t>
  </si>
  <si>
    <t>Rhubarb</t>
  </si>
  <si>
    <t>EmployeeID</t>
  </si>
  <si>
    <t>EmployeeName</t>
  </si>
  <si>
    <t>Title</t>
  </si>
  <si>
    <t>Nancy Davolio</t>
  </si>
  <si>
    <t>Sales Rep</t>
  </si>
  <si>
    <t>Andrew Fuller</t>
  </si>
  <si>
    <t>VP Sales</t>
  </si>
  <si>
    <t>Janet Leverling</t>
  </si>
  <si>
    <t>Margaret Peacock</t>
  </si>
  <si>
    <t>Steven Buchanan</t>
  </si>
  <si>
    <t>Sales Mgr</t>
  </si>
  <si>
    <t>OrderID</t>
  </si>
  <si>
    <t>OrderDate</t>
  </si>
  <si>
    <t>OrderDetailID</t>
  </si>
  <si>
    <t>Quantity</t>
  </si>
  <si>
    <t>LineTotal</t>
  </si>
  <si>
    <t>TaxRate</t>
  </si>
  <si>
    <t>Grand Total (incl. tax)</t>
  </si>
  <si>
    <t>Category</t>
  </si>
  <si>
    <t>Products</t>
  </si>
  <si>
    <t>Row Labels</t>
  </si>
  <si>
    <t>Grand Total</t>
  </si>
  <si>
    <t>Count of ProductID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</si>
</sst>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Products per Category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Products</c:v>
                </c:pt>
              </c:strCache>
            </c:strRef>
          </c:tx>
          <c:invertIfNegative val="0"/>
          <c:cat>
            <c:strRef>
              <c:f>Dashboard!$A$4:$A$7</c:f>
              <c:strCache>
                <c:ptCount val="4"/>
                <c:pt idx="0">
                  <c:v>Beverages</c:v>
                </c:pt>
                <c:pt idx="1">
                  <c:v>Condiments</c:v>
                </c:pt>
                <c:pt idx="2">
                  <c:v>Confections</c:v>
                </c:pt>
                <c:pt idx="3">
                  <c:v>Produce</c:v>
                </c:pt>
              </c:strCache>
            </c:strRef>
          </c:cat>
          <c:val>
            <c:numRef>
              <c:f>Dashboard!$B$4:$B$7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0-468E-B7A0-557BD8AC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945912"/>
        <c:axId val="424950592"/>
      </c:barChart>
      <c:catAx>
        <c:axId val="424945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950592"/>
        <c:crosses val="autoZero"/>
        <c:auto val="1"/>
        <c:lblAlgn val="ctr"/>
        <c:lblOffset val="100"/>
        <c:noMultiLvlLbl val="0"/>
      </c:catAx>
      <c:valAx>
        <c:axId val="4249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945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6</xdr:row>
      <xdr:rowOff>172720</xdr:rowOff>
    </xdr:from>
    <xdr:to>
      <xdr:col>9</xdr:col>
      <xdr:colOff>546100</xdr:colOff>
      <xdr:row>22</xdr:row>
      <xdr:rowOff>104140</xdr:rowOff>
    </xdr:to>
    <xdr:graphicFrame macro="">
      <xdr:nvGraphicFramePr>
        <xdr:cNvPr id="2" name="CategoryChart">
          <a:extLst>
            <a:ext uri="{FF2B5EF4-FFF2-40B4-BE49-F238E27FC236}">
              <a16:creationId xmlns:a16="http://schemas.microsoft.com/office/drawing/2014/main" id="{5F5B18BD-8CAB-6286-0CEF-935175872D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lozzi, John L." refreshedDate="46220.591116087962" createdVersion="8" refreshedVersion="8" minRefreshableVersion="3" recordCount="12" xr:uid="{F07E5E7A-5DC5-4E0B-B9EC-2BC25EA0004C}">
  <cacheSource type="worksheet">
    <worksheetSource ref="A1:D13" sheet="Products"/>
  </cacheSource>
  <cacheFields count="4">
    <cacheField name="ProductID" numFmtId="0">
      <sharedItems containsSemiMixedTypes="0" containsString="0" containsNumber="1" containsInteger="1" minValue="101" maxValue="112"/>
    </cacheField>
    <cacheField name="ProductName" numFmtId="0">
      <sharedItems/>
    </cacheField>
    <cacheField name="CategoryID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UnitPrice" numFmtId="0">
      <sharedItems containsSemiMixedTypes="0" containsString="0" containsNumber="1" minValue="9.65" maxValue="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01"/>
    <s v="Chai"/>
    <x v="0"/>
    <n v="18"/>
  </r>
  <r>
    <n v="102"/>
    <s v="Chang"/>
    <x v="0"/>
    <n v="19"/>
  </r>
  <r>
    <n v="103"/>
    <s v="Aniseed Syrup"/>
    <x v="1"/>
    <n v="10"/>
  </r>
  <r>
    <n v="104"/>
    <s v="Cajun Season"/>
    <x v="1"/>
    <n v="22"/>
  </r>
  <r>
    <n v="105"/>
    <s v="Gumbo Mix"/>
    <x v="1"/>
    <n v="21.35"/>
  </r>
  <r>
    <n v="106"/>
    <s v="Marmalade"/>
    <x v="2"/>
    <n v="81"/>
  </r>
  <r>
    <n v="107"/>
    <s v="Scones"/>
    <x v="2"/>
    <n v="10"/>
  </r>
  <r>
    <n v="108"/>
    <s v="Pavlova"/>
    <x v="2"/>
    <n v="17.45"/>
  </r>
  <r>
    <n v="109"/>
    <s v="Tofu"/>
    <x v="3"/>
    <n v="23.25"/>
  </r>
  <r>
    <n v="110"/>
    <s v="Dried Pears"/>
    <x v="3"/>
    <n v="30"/>
  </r>
  <r>
    <n v="111"/>
    <s v="Green Tea"/>
    <x v="0"/>
    <n v="12.5"/>
  </r>
  <r>
    <n v="112"/>
    <s v="Rhubarb"/>
    <x v="3"/>
    <n v="9.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DEB24-D07A-4E19-A759-610D01CCDD2D}" name="ProductsByCategory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6" firstHeaderRow="1" firstDataRow="1" firstDataCol="1"/>
  <pivotFields count="4">
    <pivotField dataField="1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Product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68000C-BA8A-4D8D-A9D7-92E547BA9538}" name="Customers" displayName="Customers" ref="A1:C9" totalsRowShown="0">
  <autoFilter ref="A1:C9" xr:uid="{4368000C-BA8A-4D8D-A9D7-92E547BA9538}"/>
  <tableColumns count="3">
    <tableColumn id="1" xr3:uid="{7A239C4E-024E-4FB8-B75F-A4B22F75725A}" name="CustomerID"/>
    <tableColumn id="2" xr3:uid="{B39A07D4-82A4-479F-81D9-42D29F85732D}" name="CustomerName"/>
    <tableColumn id="3" xr3:uid="{1F2697B7-07BF-45F7-8FA9-89BD05A55FA2}" name="Cit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050F11-E18F-48A6-AA6C-2D160481CFA7}" name="Categories" displayName="Categories" ref="A1:B5" totalsRowShown="0">
  <autoFilter ref="A1:B5" xr:uid="{B8050F11-E18F-48A6-AA6C-2D160481CFA7}"/>
  <tableColumns count="2">
    <tableColumn id="1" xr3:uid="{4F200B1D-8026-4EC0-8BA8-FC8687B7CF0B}" name="CategoryID"/>
    <tableColumn id="2" xr3:uid="{51A9FA72-4479-4099-8539-9E32D1B5C064}" name="Category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0691CB-F0C9-4835-A4C0-DCDFAC1ADCD9}" name="Products" displayName="Products" ref="A1:D13" totalsRowShown="0">
  <autoFilter ref="A1:D13" xr:uid="{FA0691CB-F0C9-4835-A4C0-DCDFAC1ADCD9}"/>
  <tableColumns count="4">
    <tableColumn id="1" xr3:uid="{A0A6FFA9-FC8D-4701-B035-9A67457DEDB7}" name="ProductID"/>
    <tableColumn id="2" xr3:uid="{80A43E1F-4CE6-4090-A439-53AC3E4028C8}" name="ProductName"/>
    <tableColumn id="3" xr3:uid="{7A1D70D2-763B-4CE0-92E1-07015B83AC75}" name="CategoryID"/>
    <tableColumn id="4" xr3:uid="{4DB3DB7B-5C5F-43F0-91F3-E6B881EE2AE5}" name="UnitPri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FEB2D2-586D-419A-887A-41775180A668}" name="Employees" displayName="Employees" ref="A1:C6" totalsRowShown="0">
  <autoFilter ref="A1:C6" xr:uid="{FCFEB2D2-586D-419A-887A-41775180A668}"/>
  <tableColumns count="3">
    <tableColumn id="1" xr3:uid="{BB887472-3EC2-40FE-B6D0-7B669294F149}" name="EmployeeID"/>
    <tableColumn id="2" xr3:uid="{82484849-F1BE-4996-94A9-A1303CCE7D96}" name="EmployeeName"/>
    <tableColumn id="3" xr3:uid="{B236CE78-6677-4ABD-AC74-1E41264F5889}" name="Tit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EF2CA9-C42F-4622-896B-F3C62942FEEE}" name="Orders" displayName="Orders" ref="A1:F21" totalsRowShown="0">
  <autoFilter ref="A1:F21" xr:uid="{36EF2CA9-C42F-4622-896B-F3C62942FEEE}"/>
  <tableColumns count="6">
    <tableColumn id="1" xr3:uid="{73347B6C-7FB3-4FDE-BCDE-DE4C5DCE8521}" name="OrderID"/>
    <tableColumn id="2" xr3:uid="{D03779F4-A880-4859-9951-918F792A22FB}" name="CustomerID"/>
    <tableColumn id="3" xr3:uid="{8182458D-51C6-4798-8FE6-9A01912A1D3E}" name="EmployeeID"/>
    <tableColumn id="4" xr3:uid="{B94B3618-AECD-4354-98B2-AC4A55150683}" name="OrderDate" dataDxfId="0"/>
    <tableColumn id="5" xr3:uid="{6B6B0D8E-F03B-4F9D-B807-0FE6E7487B99}" name="CustomerName">
      <calculatedColumnFormula>_xlfn.XLOOKUP(B2,Customers[CustomerID],Customers[CustomerName])</calculatedColumnFormula>
    </tableColumn>
    <tableColumn id="6" xr3:uid="{9A8F6141-2A7C-4B5D-8B4C-834C9D8BD0B1}" name="EmployeeName">
      <calculatedColumnFormula>VLOOKUP(C2,Employees[[EmployeeID]:[EmployeeName]],2,FALSE)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644646-4447-447F-8FA9-6B2328E2BC16}" name="OrderDetails" displayName="OrderDetails" ref="A1:F41" totalsRowShown="0">
  <autoFilter ref="A1:F41" xr:uid="{60644646-4447-447F-8FA9-6B2328E2BC16}"/>
  <tableColumns count="6">
    <tableColumn id="1" xr3:uid="{F2AE3446-4581-4B0F-AB66-30C9602223EA}" name="OrderDetailID"/>
    <tableColumn id="2" xr3:uid="{CE8DCE43-CF57-4C93-8FEF-58F57B0AC48B}" name="OrderID"/>
    <tableColumn id="3" xr3:uid="{8437FB4B-5FAB-43ED-A035-9864A8068F3D}" name="ProductID"/>
    <tableColumn id="4" xr3:uid="{FD7E002B-E595-404C-9FC8-0C151079992F}" name="Quantity"/>
    <tableColumn id="5" xr3:uid="{1361BF10-CED1-452E-9298-73C58BD0134A}" name="UnitPrice">
      <calculatedColumnFormula>_xlfn.XLOOKUP(C2,Products[ProductID],Products[UnitPrice])</calculatedColumnFormula>
    </tableColumn>
    <tableColumn id="6" xr3:uid="{1A9DE0DC-DF29-4B6B-8FAC-023AF0AAF1A8}" name="LineTotal">
      <calculatedColumnFormula>D2*E2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9DDD2-2E20-4859-90F0-21944A5075A9}">
  <sheetPr codeName="Sheet1"/>
  <dimension ref="A1:C9"/>
  <sheetViews>
    <sheetView workbookViewId="0"/>
  </sheetViews>
  <sheetFormatPr defaultRowHeight="14.4" x14ac:dyDescent="0.3"/>
  <cols>
    <col min="1" max="1" width="12.77734375" customWidth="1"/>
    <col min="2" max="2" width="16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 t="s">
        <v>3</v>
      </c>
      <c r="C2" t="s">
        <v>4</v>
      </c>
    </row>
    <row r="3" spans="1:3" x14ac:dyDescent="0.3">
      <c r="A3">
        <v>2</v>
      </c>
      <c r="B3" t="s">
        <v>5</v>
      </c>
      <c r="C3" t="s">
        <v>6</v>
      </c>
    </row>
    <row r="4" spans="1:3" x14ac:dyDescent="0.3">
      <c r="A4">
        <v>3</v>
      </c>
      <c r="B4" t="s">
        <v>7</v>
      </c>
      <c r="C4" t="s">
        <v>8</v>
      </c>
    </row>
    <row r="5" spans="1:3" x14ac:dyDescent="0.3">
      <c r="A5">
        <v>4</v>
      </c>
      <c r="B5" t="s">
        <v>9</v>
      </c>
      <c r="C5" t="s">
        <v>10</v>
      </c>
    </row>
    <row r="6" spans="1:3" x14ac:dyDescent="0.3">
      <c r="A6">
        <v>5</v>
      </c>
      <c r="B6" t="s">
        <v>11</v>
      </c>
      <c r="C6" t="s">
        <v>12</v>
      </c>
    </row>
    <row r="7" spans="1:3" x14ac:dyDescent="0.3">
      <c r="A7">
        <v>6</v>
      </c>
      <c r="B7" t="s">
        <v>13</v>
      </c>
      <c r="C7" t="s">
        <v>14</v>
      </c>
    </row>
    <row r="8" spans="1:3" x14ac:dyDescent="0.3">
      <c r="A8">
        <v>7</v>
      </c>
      <c r="B8" t="s">
        <v>15</v>
      </c>
      <c r="C8" t="s">
        <v>16</v>
      </c>
    </row>
    <row r="9" spans="1:3" x14ac:dyDescent="0.3">
      <c r="A9">
        <v>8</v>
      </c>
      <c r="B9" t="s">
        <v>17</v>
      </c>
      <c r="C9" t="s">
        <v>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F45DC-82E8-4695-A5A9-9776710F6A84}">
  <sheetPr codeName="Sheet2"/>
  <dimension ref="A1:B5"/>
  <sheetViews>
    <sheetView workbookViewId="0"/>
  </sheetViews>
  <sheetFormatPr defaultRowHeight="14.4" x14ac:dyDescent="0.3"/>
  <cols>
    <col min="1" max="1" width="12" customWidth="1"/>
    <col min="2" max="2" width="15.21875" customWidth="1"/>
  </cols>
  <sheetData>
    <row r="1" spans="1:2" x14ac:dyDescent="0.3">
      <c r="A1" t="s">
        <v>19</v>
      </c>
      <c r="B1" t="s">
        <v>20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22</v>
      </c>
    </row>
    <row r="4" spans="1:2" x14ac:dyDescent="0.3">
      <c r="A4">
        <v>3</v>
      </c>
      <c r="B4" t="s">
        <v>23</v>
      </c>
    </row>
    <row r="5" spans="1:2" x14ac:dyDescent="0.3">
      <c r="A5">
        <v>4</v>
      </c>
      <c r="B5" t="s">
        <v>24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32A16-A61B-4569-967C-99A4DE522164}">
  <sheetPr codeName="Sheet3"/>
  <dimension ref="A1:D13"/>
  <sheetViews>
    <sheetView workbookViewId="0"/>
  </sheetViews>
  <sheetFormatPr defaultRowHeight="14.4" x14ac:dyDescent="0.3"/>
  <cols>
    <col min="1" max="1" width="11.21875" customWidth="1"/>
    <col min="2" max="2" width="14.44140625" customWidth="1"/>
    <col min="3" max="3" width="12" customWidth="1"/>
    <col min="4" max="4" width="10.6640625" customWidth="1"/>
  </cols>
  <sheetData>
    <row r="1" spans="1:4" x14ac:dyDescent="0.3">
      <c r="A1" t="s">
        <v>25</v>
      </c>
      <c r="B1" t="s">
        <v>26</v>
      </c>
      <c r="C1" t="s">
        <v>19</v>
      </c>
      <c r="D1" t="s">
        <v>27</v>
      </c>
    </row>
    <row r="2" spans="1:4" x14ac:dyDescent="0.3">
      <c r="A2">
        <v>101</v>
      </c>
      <c r="B2" t="s">
        <v>28</v>
      </c>
      <c r="C2">
        <v>1</v>
      </c>
      <c r="D2">
        <v>18</v>
      </c>
    </row>
    <row r="3" spans="1:4" x14ac:dyDescent="0.3">
      <c r="A3">
        <v>102</v>
      </c>
      <c r="B3" t="s">
        <v>29</v>
      </c>
      <c r="C3">
        <v>1</v>
      </c>
      <c r="D3">
        <v>19</v>
      </c>
    </row>
    <row r="4" spans="1:4" x14ac:dyDescent="0.3">
      <c r="A4">
        <v>103</v>
      </c>
      <c r="B4" t="s">
        <v>30</v>
      </c>
      <c r="C4">
        <v>2</v>
      </c>
      <c r="D4">
        <v>10</v>
      </c>
    </row>
    <row r="5" spans="1:4" x14ac:dyDescent="0.3">
      <c r="A5">
        <v>104</v>
      </c>
      <c r="B5" t="s">
        <v>31</v>
      </c>
      <c r="C5">
        <v>2</v>
      </c>
      <c r="D5">
        <v>22</v>
      </c>
    </row>
    <row r="6" spans="1:4" x14ac:dyDescent="0.3">
      <c r="A6">
        <v>105</v>
      </c>
      <c r="B6" t="s">
        <v>32</v>
      </c>
      <c r="C6">
        <v>2</v>
      </c>
      <c r="D6">
        <v>21.35</v>
      </c>
    </row>
    <row r="7" spans="1:4" x14ac:dyDescent="0.3">
      <c r="A7">
        <v>106</v>
      </c>
      <c r="B7" t="s">
        <v>33</v>
      </c>
      <c r="C7">
        <v>3</v>
      </c>
      <c r="D7">
        <v>81</v>
      </c>
    </row>
    <row r="8" spans="1:4" x14ac:dyDescent="0.3">
      <c r="A8">
        <v>107</v>
      </c>
      <c r="B8" t="s">
        <v>34</v>
      </c>
      <c r="C8">
        <v>3</v>
      </c>
      <c r="D8">
        <v>10</v>
      </c>
    </row>
    <row r="9" spans="1:4" x14ac:dyDescent="0.3">
      <c r="A9">
        <v>108</v>
      </c>
      <c r="B9" t="s">
        <v>35</v>
      </c>
      <c r="C9">
        <v>3</v>
      </c>
      <c r="D9">
        <v>17.45</v>
      </c>
    </row>
    <row r="10" spans="1:4" x14ac:dyDescent="0.3">
      <c r="A10">
        <v>109</v>
      </c>
      <c r="B10" t="s">
        <v>36</v>
      </c>
      <c r="C10">
        <v>4</v>
      </c>
      <c r="D10">
        <v>23.25</v>
      </c>
    </row>
    <row r="11" spans="1:4" x14ac:dyDescent="0.3">
      <c r="A11">
        <v>110</v>
      </c>
      <c r="B11" t="s">
        <v>37</v>
      </c>
      <c r="C11">
        <v>4</v>
      </c>
      <c r="D11">
        <v>30</v>
      </c>
    </row>
    <row r="12" spans="1:4" x14ac:dyDescent="0.3">
      <c r="A12">
        <v>111</v>
      </c>
      <c r="B12" t="s">
        <v>38</v>
      </c>
      <c r="C12">
        <v>1</v>
      </c>
      <c r="D12">
        <v>12.5</v>
      </c>
    </row>
    <row r="13" spans="1:4" x14ac:dyDescent="0.3">
      <c r="A13">
        <v>112</v>
      </c>
      <c r="B13" t="s">
        <v>39</v>
      </c>
      <c r="C13">
        <v>4</v>
      </c>
      <c r="D13">
        <v>9.65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21D58-A982-465F-9487-FA119C323AF5}">
  <sheetPr codeName="Sheet4"/>
  <dimension ref="A1:C6"/>
  <sheetViews>
    <sheetView workbookViewId="0"/>
  </sheetViews>
  <sheetFormatPr defaultRowHeight="14.4" x14ac:dyDescent="0.3"/>
  <cols>
    <col min="1" max="1" width="12.88671875" customWidth="1"/>
    <col min="2" max="2" width="16.109375" customWidth="1"/>
  </cols>
  <sheetData>
    <row r="1" spans="1:3" x14ac:dyDescent="0.3">
      <c r="A1" t="s">
        <v>40</v>
      </c>
      <c r="B1" t="s">
        <v>41</v>
      </c>
      <c r="C1" t="s">
        <v>42</v>
      </c>
    </row>
    <row r="2" spans="1:3" x14ac:dyDescent="0.3">
      <c r="A2">
        <v>11</v>
      </c>
      <c r="B2" t="s">
        <v>43</v>
      </c>
      <c r="C2" t="s">
        <v>44</v>
      </c>
    </row>
    <row r="3" spans="1:3" x14ac:dyDescent="0.3">
      <c r="A3">
        <v>12</v>
      </c>
      <c r="B3" t="s">
        <v>45</v>
      </c>
      <c r="C3" t="s">
        <v>46</v>
      </c>
    </row>
    <row r="4" spans="1:3" x14ac:dyDescent="0.3">
      <c r="A4">
        <v>13</v>
      </c>
      <c r="B4" t="s">
        <v>47</v>
      </c>
      <c r="C4" t="s">
        <v>44</v>
      </c>
    </row>
    <row r="5" spans="1:3" x14ac:dyDescent="0.3">
      <c r="A5">
        <v>14</v>
      </c>
      <c r="B5" t="s">
        <v>48</v>
      </c>
      <c r="C5" t="s">
        <v>44</v>
      </c>
    </row>
    <row r="6" spans="1:3" x14ac:dyDescent="0.3">
      <c r="A6">
        <v>15</v>
      </c>
      <c r="B6" t="s">
        <v>49</v>
      </c>
      <c r="C6" t="s">
        <v>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F5FFF-21C9-4971-A9DA-C95BFDEA5495}">
  <sheetPr codeName="Sheet5"/>
  <dimension ref="A1:F21"/>
  <sheetViews>
    <sheetView workbookViewId="0"/>
  </sheetViews>
  <sheetFormatPr defaultRowHeight="14.4" x14ac:dyDescent="0.3"/>
  <cols>
    <col min="1" max="1" width="9.44140625" customWidth="1"/>
    <col min="2" max="2" width="12.77734375" customWidth="1"/>
    <col min="3" max="3" width="12.88671875" customWidth="1"/>
    <col min="4" max="4" width="11.5546875" customWidth="1"/>
    <col min="5" max="5" width="16" customWidth="1"/>
    <col min="6" max="6" width="16.109375" customWidth="1"/>
  </cols>
  <sheetData>
    <row r="1" spans="1:6" x14ac:dyDescent="0.3">
      <c r="A1" t="s">
        <v>51</v>
      </c>
      <c r="B1" t="s">
        <v>0</v>
      </c>
      <c r="C1" t="s">
        <v>40</v>
      </c>
      <c r="D1" t="s">
        <v>52</v>
      </c>
      <c r="E1" t="s">
        <v>1</v>
      </c>
      <c r="F1" t="s">
        <v>41</v>
      </c>
    </row>
    <row r="2" spans="1:6" x14ac:dyDescent="0.3">
      <c r="A2">
        <v>1001</v>
      </c>
      <c r="B2">
        <v>4</v>
      </c>
      <c r="C2">
        <v>15</v>
      </c>
      <c r="D2" s="1">
        <v>46068</v>
      </c>
      <c r="E2" t="str">
        <f>_xlfn.XLOOKUP(B2,Customers[CustomerID],Customers[CustomerName])</f>
        <v>Delta Deli</v>
      </c>
      <c r="F2" t="str">
        <f>VLOOKUP(C2,Employees[[EmployeeID]:[EmployeeName]],2,FALSE)</f>
        <v>Steven Buchanan</v>
      </c>
    </row>
    <row r="3" spans="1:6" x14ac:dyDescent="0.3">
      <c r="A3">
        <v>1002</v>
      </c>
      <c r="B3">
        <v>6</v>
      </c>
      <c r="C3">
        <v>11</v>
      </c>
      <c r="D3" s="1">
        <v>46096</v>
      </c>
      <c r="E3" t="str">
        <f>_xlfn.XLOOKUP(B3,Customers[CustomerID],Customers[CustomerName])</f>
        <v>Foxtrot Fresh</v>
      </c>
      <c r="F3" t="str">
        <f>VLOOKUP(C3,Employees[[EmployeeID]:[EmployeeName]],2,FALSE)</f>
        <v>Nancy Davolio</v>
      </c>
    </row>
    <row r="4" spans="1:6" x14ac:dyDescent="0.3">
      <c r="A4">
        <v>1003</v>
      </c>
      <c r="B4">
        <v>3</v>
      </c>
      <c r="C4">
        <v>14</v>
      </c>
      <c r="D4" s="1">
        <v>46127</v>
      </c>
      <c r="E4" t="str">
        <f>_xlfn.XLOOKUP(B4,Customers[CustomerID],Customers[CustomerName])</f>
        <v>Cascade Grocery</v>
      </c>
      <c r="F4" t="str">
        <f>VLOOKUP(C4,Employees[[EmployeeID]:[EmployeeName]],2,FALSE)</f>
        <v>Margaret Peacock</v>
      </c>
    </row>
    <row r="5" spans="1:6" x14ac:dyDescent="0.3">
      <c r="A5">
        <v>1004</v>
      </c>
      <c r="B5">
        <v>1</v>
      </c>
      <c r="C5">
        <v>15</v>
      </c>
      <c r="D5" s="1">
        <v>46157</v>
      </c>
      <c r="E5" t="str">
        <f>_xlfn.XLOOKUP(B5,Customers[CustomerID],Customers[CustomerName])</f>
        <v>Alpha Foods</v>
      </c>
      <c r="F5" t="str">
        <f>VLOOKUP(C5,Employees[[EmployeeID]:[EmployeeName]],2,FALSE)</f>
        <v>Steven Buchanan</v>
      </c>
    </row>
    <row r="6" spans="1:6" x14ac:dyDescent="0.3">
      <c r="A6">
        <v>1005</v>
      </c>
      <c r="B6">
        <v>7</v>
      </c>
      <c r="C6">
        <v>15</v>
      </c>
      <c r="D6" s="1">
        <v>46188</v>
      </c>
      <c r="E6" t="str">
        <f>_xlfn.XLOOKUP(B6,Customers[CustomerID],Customers[CustomerName])</f>
        <v>Golf Grocers</v>
      </c>
      <c r="F6" t="str">
        <f>VLOOKUP(C6,Employees[[EmployeeID]:[EmployeeName]],2,FALSE)</f>
        <v>Steven Buchanan</v>
      </c>
    </row>
    <row r="7" spans="1:6" x14ac:dyDescent="0.3">
      <c r="A7">
        <v>1006</v>
      </c>
      <c r="B7">
        <v>4</v>
      </c>
      <c r="C7">
        <v>15</v>
      </c>
      <c r="D7" s="1">
        <v>46218</v>
      </c>
      <c r="E7" t="str">
        <f>_xlfn.XLOOKUP(B7,Customers[CustomerID],Customers[CustomerName])</f>
        <v>Delta Deli</v>
      </c>
      <c r="F7" t="str">
        <f>VLOOKUP(C7,Employees[[EmployeeID]:[EmployeeName]],2,FALSE)</f>
        <v>Steven Buchanan</v>
      </c>
    </row>
    <row r="8" spans="1:6" x14ac:dyDescent="0.3">
      <c r="A8">
        <v>1007</v>
      </c>
      <c r="B8">
        <v>4</v>
      </c>
      <c r="C8">
        <v>11</v>
      </c>
      <c r="D8" s="1">
        <v>46249</v>
      </c>
      <c r="E8" t="str">
        <f>_xlfn.XLOOKUP(B8,Customers[CustomerID],Customers[CustomerName])</f>
        <v>Delta Deli</v>
      </c>
      <c r="F8" t="str">
        <f>VLOOKUP(C8,Employees[[EmployeeID]:[EmployeeName]],2,FALSE)</f>
        <v>Nancy Davolio</v>
      </c>
    </row>
    <row r="9" spans="1:6" x14ac:dyDescent="0.3">
      <c r="A9">
        <v>1008</v>
      </c>
      <c r="B9">
        <v>8</v>
      </c>
      <c r="C9">
        <v>13</v>
      </c>
      <c r="D9" s="1">
        <v>46037</v>
      </c>
      <c r="E9" t="str">
        <f>_xlfn.XLOOKUP(B9,Customers[CustomerID],Customers[CustomerName])</f>
        <v>Hotel Pantry</v>
      </c>
      <c r="F9" t="str">
        <f>VLOOKUP(C9,Employees[[EmployeeID]:[EmployeeName]],2,FALSE)</f>
        <v>Janet Leverling</v>
      </c>
    </row>
    <row r="10" spans="1:6" x14ac:dyDescent="0.3">
      <c r="A10">
        <v>1009</v>
      </c>
      <c r="B10">
        <v>7</v>
      </c>
      <c r="C10">
        <v>12</v>
      </c>
      <c r="D10" s="1">
        <v>46068</v>
      </c>
      <c r="E10" t="str">
        <f>_xlfn.XLOOKUP(B10,Customers[CustomerID],Customers[CustomerName])</f>
        <v>Golf Grocers</v>
      </c>
      <c r="F10" t="str">
        <f>VLOOKUP(C10,Employees[[EmployeeID]:[EmployeeName]],2,FALSE)</f>
        <v>Andrew Fuller</v>
      </c>
    </row>
    <row r="11" spans="1:6" x14ac:dyDescent="0.3">
      <c r="A11">
        <v>1010</v>
      </c>
      <c r="B11">
        <v>7</v>
      </c>
      <c r="C11">
        <v>11</v>
      </c>
      <c r="D11" s="1">
        <v>46096</v>
      </c>
      <c r="E11" t="str">
        <f>_xlfn.XLOOKUP(B11,Customers[CustomerID],Customers[CustomerName])</f>
        <v>Golf Grocers</v>
      </c>
      <c r="F11" t="str">
        <f>VLOOKUP(C11,Employees[[EmployeeID]:[EmployeeName]],2,FALSE)</f>
        <v>Nancy Davolio</v>
      </c>
    </row>
    <row r="12" spans="1:6" x14ac:dyDescent="0.3">
      <c r="A12">
        <v>1011</v>
      </c>
      <c r="B12">
        <v>6</v>
      </c>
      <c r="C12">
        <v>13</v>
      </c>
      <c r="D12" s="1">
        <v>46127</v>
      </c>
      <c r="E12" t="str">
        <f>_xlfn.XLOOKUP(B12,Customers[CustomerID],Customers[CustomerName])</f>
        <v>Foxtrot Fresh</v>
      </c>
      <c r="F12" t="str">
        <f>VLOOKUP(C12,Employees[[EmployeeID]:[EmployeeName]],2,FALSE)</f>
        <v>Janet Leverling</v>
      </c>
    </row>
    <row r="13" spans="1:6" x14ac:dyDescent="0.3">
      <c r="A13">
        <v>1012</v>
      </c>
      <c r="B13">
        <v>2</v>
      </c>
      <c r="C13">
        <v>13</v>
      </c>
      <c r="D13" s="1">
        <v>46157</v>
      </c>
      <c r="E13" t="str">
        <f>_xlfn.XLOOKUP(B13,Customers[CustomerID],Customers[CustomerName])</f>
        <v>Bravo Market</v>
      </c>
      <c r="F13" t="str">
        <f>VLOOKUP(C13,Employees[[EmployeeID]:[EmployeeName]],2,FALSE)</f>
        <v>Janet Leverling</v>
      </c>
    </row>
    <row r="14" spans="1:6" x14ac:dyDescent="0.3">
      <c r="A14">
        <v>1013</v>
      </c>
      <c r="B14">
        <v>4</v>
      </c>
      <c r="C14">
        <v>11</v>
      </c>
      <c r="D14" s="1">
        <v>46188</v>
      </c>
      <c r="E14" t="str">
        <f>_xlfn.XLOOKUP(B14,Customers[CustomerID],Customers[CustomerName])</f>
        <v>Delta Deli</v>
      </c>
      <c r="F14" t="str">
        <f>VLOOKUP(C14,Employees[[EmployeeID]:[EmployeeName]],2,FALSE)</f>
        <v>Nancy Davolio</v>
      </c>
    </row>
    <row r="15" spans="1:6" x14ac:dyDescent="0.3">
      <c r="A15">
        <v>1014</v>
      </c>
      <c r="B15">
        <v>8</v>
      </c>
      <c r="C15">
        <v>11</v>
      </c>
      <c r="D15" s="1">
        <v>46218</v>
      </c>
      <c r="E15" t="str">
        <f>_xlfn.XLOOKUP(B15,Customers[CustomerID],Customers[CustomerName])</f>
        <v>Hotel Pantry</v>
      </c>
      <c r="F15" t="str">
        <f>VLOOKUP(C15,Employees[[EmployeeID]:[EmployeeName]],2,FALSE)</f>
        <v>Nancy Davolio</v>
      </c>
    </row>
    <row r="16" spans="1:6" x14ac:dyDescent="0.3">
      <c r="A16">
        <v>1015</v>
      </c>
      <c r="B16">
        <v>4</v>
      </c>
      <c r="C16">
        <v>14</v>
      </c>
      <c r="D16" s="1">
        <v>46249</v>
      </c>
      <c r="E16" t="str">
        <f>_xlfn.XLOOKUP(B16,Customers[CustomerID],Customers[CustomerName])</f>
        <v>Delta Deli</v>
      </c>
      <c r="F16" t="str">
        <f>VLOOKUP(C16,Employees[[EmployeeID]:[EmployeeName]],2,FALSE)</f>
        <v>Margaret Peacock</v>
      </c>
    </row>
    <row r="17" spans="1:6" x14ac:dyDescent="0.3">
      <c r="A17">
        <v>1016</v>
      </c>
      <c r="B17">
        <v>7</v>
      </c>
      <c r="C17">
        <v>12</v>
      </c>
      <c r="D17" s="1">
        <v>46037</v>
      </c>
      <c r="E17" t="str">
        <f>_xlfn.XLOOKUP(B17,Customers[CustomerID],Customers[CustomerName])</f>
        <v>Golf Grocers</v>
      </c>
      <c r="F17" t="str">
        <f>VLOOKUP(C17,Employees[[EmployeeID]:[EmployeeName]],2,FALSE)</f>
        <v>Andrew Fuller</v>
      </c>
    </row>
    <row r="18" spans="1:6" x14ac:dyDescent="0.3">
      <c r="A18">
        <v>1017</v>
      </c>
      <c r="B18">
        <v>1</v>
      </c>
      <c r="C18">
        <v>11</v>
      </c>
      <c r="D18" s="1">
        <v>46068</v>
      </c>
      <c r="E18" t="str">
        <f>_xlfn.XLOOKUP(B18,Customers[CustomerID],Customers[CustomerName])</f>
        <v>Alpha Foods</v>
      </c>
      <c r="F18" t="str">
        <f>VLOOKUP(C18,Employees[[EmployeeID]:[EmployeeName]],2,FALSE)</f>
        <v>Nancy Davolio</v>
      </c>
    </row>
    <row r="19" spans="1:6" x14ac:dyDescent="0.3">
      <c r="A19">
        <v>1018</v>
      </c>
      <c r="B19">
        <v>1</v>
      </c>
      <c r="C19">
        <v>11</v>
      </c>
      <c r="D19" s="1">
        <v>46096</v>
      </c>
      <c r="E19" t="str">
        <f>_xlfn.XLOOKUP(B19,Customers[CustomerID],Customers[CustomerName])</f>
        <v>Alpha Foods</v>
      </c>
      <c r="F19" t="str">
        <f>VLOOKUP(C19,Employees[[EmployeeID]:[EmployeeName]],2,FALSE)</f>
        <v>Nancy Davolio</v>
      </c>
    </row>
    <row r="20" spans="1:6" x14ac:dyDescent="0.3">
      <c r="A20">
        <v>1019</v>
      </c>
      <c r="B20">
        <v>7</v>
      </c>
      <c r="C20">
        <v>11</v>
      </c>
      <c r="D20" s="1">
        <v>46127</v>
      </c>
      <c r="E20" t="str">
        <f>_xlfn.XLOOKUP(B20,Customers[CustomerID],Customers[CustomerName])</f>
        <v>Golf Grocers</v>
      </c>
      <c r="F20" t="str">
        <f>VLOOKUP(C20,Employees[[EmployeeID]:[EmployeeName]],2,FALSE)</f>
        <v>Nancy Davolio</v>
      </c>
    </row>
    <row r="21" spans="1:6" x14ac:dyDescent="0.3">
      <c r="A21">
        <v>1020</v>
      </c>
      <c r="B21">
        <v>5</v>
      </c>
      <c r="C21">
        <v>15</v>
      </c>
      <c r="D21" s="1">
        <v>46157</v>
      </c>
      <c r="E21" t="str">
        <f>_xlfn.XLOOKUP(B21,Customers[CustomerID],Customers[CustomerName])</f>
        <v>Echo Eats</v>
      </c>
      <c r="F21" t="str">
        <f>VLOOKUP(C21,Employees[[EmployeeID]:[EmployeeName]],2,FALSE)</f>
        <v>Steven Buchanan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D207-BC8E-49D6-A72F-FB7421680F29}">
  <sheetPr codeName="Sheet6"/>
  <dimension ref="A1:F41"/>
  <sheetViews>
    <sheetView workbookViewId="0"/>
  </sheetViews>
  <sheetFormatPr defaultRowHeight="14.4" x14ac:dyDescent="0.3"/>
  <cols>
    <col min="1" max="1" width="14.44140625" customWidth="1"/>
    <col min="2" max="2" width="9.44140625" customWidth="1"/>
    <col min="3" max="3" width="11.21875" customWidth="1"/>
    <col min="4" max="4" width="10" customWidth="1"/>
    <col min="5" max="5" width="10.6640625" customWidth="1"/>
    <col min="6" max="6" width="10.44140625" customWidth="1"/>
  </cols>
  <sheetData>
    <row r="1" spans="1:6" x14ac:dyDescent="0.3">
      <c r="A1" t="s">
        <v>53</v>
      </c>
      <c r="B1" t="s">
        <v>51</v>
      </c>
      <c r="C1" t="s">
        <v>25</v>
      </c>
      <c r="D1" t="s">
        <v>54</v>
      </c>
      <c r="E1" t="s">
        <v>27</v>
      </c>
      <c r="F1" t="s">
        <v>55</v>
      </c>
    </row>
    <row r="2" spans="1:6" x14ac:dyDescent="0.3">
      <c r="A2">
        <v>5001</v>
      </c>
      <c r="B2">
        <v>1018</v>
      </c>
      <c r="C2">
        <v>108</v>
      </c>
      <c r="D2">
        <v>2</v>
      </c>
      <c r="E2">
        <f>_xlfn.XLOOKUP(C2,Products[ProductID],Products[UnitPrice])</f>
        <v>17.45</v>
      </c>
      <c r="F2">
        <f t="shared" ref="F2:F41" si="0">D2*E2</f>
        <v>34.9</v>
      </c>
    </row>
    <row r="3" spans="1:6" x14ac:dyDescent="0.3">
      <c r="A3">
        <v>5002</v>
      </c>
      <c r="B3">
        <v>1002</v>
      </c>
      <c r="C3">
        <v>108</v>
      </c>
      <c r="D3">
        <v>11</v>
      </c>
      <c r="E3">
        <f>_xlfn.XLOOKUP(C3,Products[ProductID],Products[UnitPrice])</f>
        <v>17.45</v>
      </c>
      <c r="F3">
        <f t="shared" si="0"/>
        <v>191.95</v>
      </c>
    </row>
    <row r="4" spans="1:6" x14ac:dyDescent="0.3">
      <c r="A4">
        <v>5003</v>
      </c>
      <c r="B4">
        <v>1015</v>
      </c>
      <c r="C4">
        <v>107</v>
      </c>
      <c r="D4">
        <v>10</v>
      </c>
      <c r="E4">
        <f>_xlfn.XLOOKUP(C4,Products[ProductID],Products[UnitPrice])</f>
        <v>10</v>
      </c>
      <c r="F4">
        <f t="shared" si="0"/>
        <v>100</v>
      </c>
    </row>
    <row r="5" spans="1:6" x14ac:dyDescent="0.3">
      <c r="A5">
        <v>5004</v>
      </c>
      <c r="B5">
        <v>1003</v>
      </c>
      <c r="C5">
        <v>103</v>
      </c>
      <c r="D5">
        <v>10</v>
      </c>
      <c r="E5">
        <f>_xlfn.XLOOKUP(C5,Products[ProductID],Products[UnitPrice])</f>
        <v>10</v>
      </c>
      <c r="F5">
        <f t="shared" si="0"/>
        <v>100</v>
      </c>
    </row>
    <row r="6" spans="1:6" x14ac:dyDescent="0.3">
      <c r="A6">
        <v>5005</v>
      </c>
      <c r="B6">
        <v>1015</v>
      </c>
      <c r="C6">
        <v>111</v>
      </c>
      <c r="D6">
        <v>7</v>
      </c>
      <c r="E6">
        <f>_xlfn.XLOOKUP(C6,Products[ProductID],Products[UnitPrice])</f>
        <v>12.5</v>
      </c>
      <c r="F6">
        <f t="shared" si="0"/>
        <v>87.5</v>
      </c>
    </row>
    <row r="7" spans="1:6" x14ac:dyDescent="0.3">
      <c r="A7">
        <v>5006</v>
      </c>
      <c r="B7">
        <v>1017</v>
      </c>
      <c r="C7">
        <v>109</v>
      </c>
      <c r="D7">
        <v>3</v>
      </c>
      <c r="E7">
        <f>_xlfn.XLOOKUP(C7,Products[ProductID],Products[UnitPrice])</f>
        <v>23.25</v>
      </c>
      <c r="F7">
        <f t="shared" si="0"/>
        <v>69.75</v>
      </c>
    </row>
    <row r="8" spans="1:6" x14ac:dyDescent="0.3">
      <c r="A8">
        <v>5007</v>
      </c>
      <c r="B8">
        <v>1014</v>
      </c>
      <c r="C8">
        <v>105</v>
      </c>
      <c r="D8">
        <v>8</v>
      </c>
      <c r="E8">
        <f>_xlfn.XLOOKUP(C8,Products[ProductID],Products[UnitPrice])</f>
        <v>21.35</v>
      </c>
      <c r="F8">
        <f t="shared" si="0"/>
        <v>170.8</v>
      </c>
    </row>
    <row r="9" spans="1:6" x14ac:dyDescent="0.3">
      <c r="A9">
        <v>5008</v>
      </c>
      <c r="B9">
        <v>1001</v>
      </c>
      <c r="C9">
        <v>106</v>
      </c>
      <c r="D9">
        <v>2</v>
      </c>
      <c r="E9">
        <f>_xlfn.XLOOKUP(C9,Products[ProductID],Products[UnitPrice])</f>
        <v>81</v>
      </c>
      <c r="F9">
        <f t="shared" si="0"/>
        <v>162</v>
      </c>
    </row>
    <row r="10" spans="1:6" x14ac:dyDescent="0.3">
      <c r="A10">
        <v>5009</v>
      </c>
      <c r="B10">
        <v>1002</v>
      </c>
      <c r="C10">
        <v>102</v>
      </c>
      <c r="D10">
        <v>10</v>
      </c>
      <c r="E10">
        <f>_xlfn.XLOOKUP(C10,Products[ProductID],Products[UnitPrice])</f>
        <v>19</v>
      </c>
      <c r="F10">
        <f t="shared" si="0"/>
        <v>190</v>
      </c>
    </row>
    <row r="11" spans="1:6" x14ac:dyDescent="0.3">
      <c r="A11">
        <v>5010</v>
      </c>
      <c r="B11">
        <v>1006</v>
      </c>
      <c r="C11">
        <v>101</v>
      </c>
      <c r="D11">
        <v>9</v>
      </c>
      <c r="E11">
        <f>_xlfn.XLOOKUP(C11,Products[ProductID],Products[UnitPrice])</f>
        <v>18</v>
      </c>
      <c r="F11">
        <f t="shared" si="0"/>
        <v>162</v>
      </c>
    </row>
    <row r="12" spans="1:6" x14ac:dyDescent="0.3">
      <c r="A12">
        <v>5011</v>
      </c>
      <c r="B12">
        <v>1012</v>
      </c>
      <c r="C12">
        <v>108</v>
      </c>
      <c r="D12">
        <v>9</v>
      </c>
      <c r="E12">
        <f>_xlfn.XLOOKUP(C12,Products[ProductID],Products[UnitPrice])</f>
        <v>17.45</v>
      </c>
      <c r="F12">
        <f t="shared" si="0"/>
        <v>157.04999999999998</v>
      </c>
    </row>
    <row r="13" spans="1:6" x14ac:dyDescent="0.3">
      <c r="A13">
        <v>5012</v>
      </c>
      <c r="B13">
        <v>1019</v>
      </c>
      <c r="C13">
        <v>102</v>
      </c>
      <c r="D13">
        <v>1</v>
      </c>
      <c r="E13">
        <f>_xlfn.XLOOKUP(C13,Products[ProductID],Products[UnitPrice])</f>
        <v>19</v>
      </c>
      <c r="F13">
        <f t="shared" si="0"/>
        <v>19</v>
      </c>
    </row>
    <row r="14" spans="1:6" x14ac:dyDescent="0.3">
      <c r="A14">
        <v>5013</v>
      </c>
      <c r="B14">
        <v>1009</v>
      </c>
      <c r="C14">
        <v>102</v>
      </c>
      <c r="D14">
        <v>10</v>
      </c>
      <c r="E14">
        <f>_xlfn.XLOOKUP(C14,Products[ProductID],Products[UnitPrice])</f>
        <v>19</v>
      </c>
      <c r="F14">
        <f t="shared" si="0"/>
        <v>190</v>
      </c>
    </row>
    <row r="15" spans="1:6" x14ac:dyDescent="0.3">
      <c r="A15">
        <v>5014</v>
      </c>
      <c r="B15">
        <v>1009</v>
      </c>
      <c r="C15">
        <v>104</v>
      </c>
      <c r="D15">
        <v>5</v>
      </c>
      <c r="E15">
        <f>_xlfn.XLOOKUP(C15,Products[ProductID],Products[UnitPrice])</f>
        <v>22</v>
      </c>
      <c r="F15">
        <f t="shared" si="0"/>
        <v>110</v>
      </c>
    </row>
    <row r="16" spans="1:6" x14ac:dyDescent="0.3">
      <c r="A16">
        <v>5015</v>
      </c>
      <c r="B16">
        <v>1004</v>
      </c>
      <c r="C16">
        <v>105</v>
      </c>
      <c r="D16">
        <v>6</v>
      </c>
      <c r="E16">
        <f>_xlfn.XLOOKUP(C16,Products[ProductID],Products[UnitPrice])</f>
        <v>21.35</v>
      </c>
      <c r="F16">
        <f t="shared" si="0"/>
        <v>128.10000000000002</v>
      </c>
    </row>
    <row r="17" spans="1:6" x14ac:dyDescent="0.3">
      <c r="A17">
        <v>5016</v>
      </c>
      <c r="B17">
        <v>1018</v>
      </c>
      <c r="C17">
        <v>108</v>
      </c>
      <c r="D17">
        <v>3</v>
      </c>
      <c r="E17">
        <f>_xlfn.XLOOKUP(C17,Products[ProductID],Products[UnitPrice])</f>
        <v>17.45</v>
      </c>
      <c r="F17">
        <f t="shared" si="0"/>
        <v>52.349999999999994</v>
      </c>
    </row>
    <row r="18" spans="1:6" x14ac:dyDescent="0.3">
      <c r="A18">
        <v>5017</v>
      </c>
      <c r="B18">
        <v>1012</v>
      </c>
      <c r="C18">
        <v>104</v>
      </c>
      <c r="D18">
        <v>5</v>
      </c>
      <c r="E18">
        <f>_xlfn.XLOOKUP(C18,Products[ProductID],Products[UnitPrice])</f>
        <v>22</v>
      </c>
      <c r="F18">
        <f t="shared" si="0"/>
        <v>110</v>
      </c>
    </row>
    <row r="19" spans="1:6" x14ac:dyDescent="0.3">
      <c r="A19">
        <v>5018</v>
      </c>
      <c r="B19">
        <v>1013</v>
      </c>
      <c r="C19">
        <v>106</v>
      </c>
      <c r="D19">
        <v>3</v>
      </c>
      <c r="E19">
        <f>_xlfn.XLOOKUP(C19,Products[ProductID],Products[UnitPrice])</f>
        <v>81</v>
      </c>
      <c r="F19">
        <f t="shared" si="0"/>
        <v>243</v>
      </c>
    </row>
    <row r="20" spans="1:6" x14ac:dyDescent="0.3">
      <c r="A20">
        <v>5019</v>
      </c>
      <c r="B20">
        <v>1005</v>
      </c>
      <c r="C20">
        <v>111</v>
      </c>
      <c r="D20">
        <v>3</v>
      </c>
      <c r="E20">
        <f>_xlfn.XLOOKUP(C20,Products[ProductID],Products[UnitPrice])</f>
        <v>12.5</v>
      </c>
      <c r="F20">
        <f t="shared" si="0"/>
        <v>37.5</v>
      </c>
    </row>
    <row r="21" spans="1:6" x14ac:dyDescent="0.3">
      <c r="A21">
        <v>5020</v>
      </c>
      <c r="B21">
        <v>1020</v>
      </c>
      <c r="C21">
        <v>112</v>
      </c>
      <c r="D21">
        <v>5</v>
      </c>
      <c r="E21">
        <f>_xlfn.XLOOKUP(C21,Products[ProductID],Products[UnitPrice])</f>
        <v>9.65</v>
      </c>
      <c r="F21">
        <f t="shared" si="0"/>
        <v>48.25</v>
      </c>
    </row>
    <row r="22" spans="1:6" x14ac:dyDescent="0.3">
      <c r="A22">
        <v>5021</v>
      </c>
      <c r="B22">
        <v>1003</v>
      </c>
      <c r="C22">
        <v>106</v>
      </c>
      <c r="D22">
        <v>6</v>
      </c>
      <c r="E22">
        <f>_xlfn.XLOOKUP(C22,Products[ProductID],Products[UnitPrice])</f>
        <v>81</v>
      </c>
      <c r="F22">
        <f t="shared" si="0"/>
        <v>486</v>
      </c>
    </row>
    <row r="23" spans="1:6" x14ac:dyDescent="0.3">
      <c r="A23">
        <v>5022</v>
      </c>
      <c r="B23">
        <v>1001</v>
      </c>
      <c r="C23">
        <v>107</v>
      </c>
      <c r="D23">
        <v>7</v>
      </c>
      <c r="E23">
        <f>_xlfn.XLOOKUP(C23,Products[ProductID],Products[UnitPrice])</f>
        <v>10</v>
      </c>
      <c r="F23">
        <f t="shared" si="0"/>
        <v>70</v>
      </c>
    </row>
    <row r="24" spans="1:6" x14ac:dyDescent="0.3">
      <c r="A24">
        <v>5023</v>
      </c>
      <c r="B24">
        <v>1002</v>
      </c>
      <c r="C24">
        <v>110</v>
      </c>
      <c r="D24">
        <v>9</v>
      </c>
      <c r="E24">
        <f>_xlfn.XLOOKUP(C24,Products[ProductID],Products[UnitPrice])</f>
        <v>30</v>
      </c>
      <c r="F24">
        <f t="shared" si="0"/>
        <v>270</v>
      </c>
    </row>
    <row r="25" spans="1:6" x14ac:dyDescent="0.3">
      <c r="A25">
        <v>5024</v>
      </c>
      <c r="B25">
        <v>1011</v>
      </c>
      <c r="C25">
        <v>105</v>
      </c>
      <c r="D25">
        <v>7</v>
      </c>
      <c r="E25">
        <f>_xlfn.XLOOKUP(C25,Products[ProductID],Products[UnitPrice])</f>
        <v>21.35</v>
      </c>
      <c r="F25">
        <f t="shared" si="0"/>
        <v>149.45000000000002</v>
      </c>
    </row>
    <row r="26" spans="1:6" x14ac:dyDescent="0.3">
      <c r="A26">
        <v>5025</v>
      </c>
      <c r="B26">
        <v>1007</v>
      </c>
      <c r="C26">
        <v>103</v>
      </c>
      <c r="D26">
        <v>1</v>
      </c>
      <c r="E26">
        <f>_xlfn.XLOOKUP(C26,Products[ProductID],Products[UnitPrice])</f>
        <v>10</v>
      </c>
      <c r="F26">
        <f t="shared" si="0"/>
        <v>10</v>
      </c>
    </row>
    <row r="27" spans="1:6" x14ac:dyDescent="0.3">
      <c r="A27">
        <v>5026</v>
      </c>
      <c r="B27">
        <v>1007</v>
      </c>
      <c r="C27">
        <v>110</v>
      </c>
      <c r="D27">
        <v>2</v>
      </c>
      <c r="E27">
        <f>_xlfn.XLOOKUP(C27,Products[ProductID],Products[UnitPrice])</f>
        <v>30</v>
      </c>
      <c r="F27">
        <f t="shared" si="0"/>
        <v>60</v>
      </c>
    </row>
    <row r="28" spans="1:6" x14ac:dyDescent="0.3">
      <c r="A28">
        <v>5027</v>
      </c>
      <c r="B28">
        <v>1013</v>
      </c>
      <c r="C28">
        <v>103</v>
      </c>
      <c r="D28">
        <v>7</v>
      </c>
      <c r="E28">
        <f>_xlfn.XLOOKUP(C28,Products[ProductID],Products[UnitPrice])</f>
        <v>10</v>
      </c>
      <c r="F28">
        <f t="shared" si="0"/>
        <v>70</v>
      </c>
    </row>
    <row r="29" spans="1:6" x14ac:dyDescent="0.3">
      <c r="A29">
        <v>5028</v>
      </c>
      <c r="B29">
        <v>1013</v>
      </c>
      <c r="C29">
        <v>109</v>
      </c>
      <c r="D29">
        <v>9</v>
      </c>
      <c r="E29">
        <f>_xlfn.XLOOKUP(C29,Products[ProductID],Products[UnitPrice])</f>
        <v>23.25</v>
      </c>
      <c r="F29">
        <f t="shared" si="0"/>
        <v>209.25</v>
      </c>
    </row>
    <row r="30" spans="1:6" x14ac:dyDescent="0.3">
      <c r="A30">
        <v>5029</v>
      </c>
      <c r="B30">
        <v>1009</v>
      </c>
      <c r="C30">
        <v>112</v>
      </c>
      <c r="D30">
        <v>2</v>
      </c>
      <c r="E30">
        <f>_xlfn.XLOOKUP(C30,Products[ProductID],Products[UnitPrice])</f>
        <v>9.65</v>
      </c>
      <c r="F30">
        <f t="shared" si="0"/>
        <v>19.3</v>
      </c>
    </row>
    <row r="31" spans="1:6" x14ac:dyDescent="0.3">
      <c r="A31">
        <v>5030</v>
      </c>
      <c r="B31">
        <v>1012</v>
      </c>
      <c r="C31">
        <v>109</v>
      </c>
      <c r="D31">
        <v>4</v>
      </c>
      <c r="E31">
        <f>_xlfn.XLOOKUP(C31,Products[ProductID],Products[UnitPrice])</f>
        <v>23.25</v>
      </c>
      <c r="F31">
        <f t="shared" si="0"/>
        <v>93</v>
      </c>
    </row>
    <row r="32" spans="1:6" x14ac:dyDescent="0.3">
      <c r="A32">
        <v>5031</v>
      </c>
      <c r="B32">
        <v>1018</v>
      </c>
      <c r="C32">
        <v>106</v>
      </c>
      <c r="D32">
        <v>2</v>
      </c>
      <c r="E32">
        <f>_xlfn.XLOOKUP(C32,Products[ProductID],Products[UnitPrice])</f>
        <v>81</v>
      </c>
      <c r="F32">
        <f t="shared" si="0"/>
        <v>162</v>
      </c>
    </row>
    <row r="33" spans="1:6" x14ac:dyDescent="0.3">
      <c r="A33">
        <v>5032</v>
      </c>
      <c r="B33">
        <v>1009</v>
      </c>
      <c r="C33">
        <v>104</v>
      </c>
      <c r="D33">
        <v>10</v>
      </c>
      <c r="E33">
        <f>_xlfn.XLOOKUP(C33,Products[ProductID],Products[UnitPrice])</f>
        <v>22</v>
      </c>
      <c r="F33">
        <f t="shared" si="0"/>
        <v>220</v>
      </c>
    </row>
    <row r="34" spans="1:6" x14ac:dyDescent="0.3">
      <c r="A34">
        <v>5033</v>
      </c>
      <c r="B34">
        <v>1017</v>
      </c>
      <c r="C34">
        <v>103</v>
      </c>
      <c r="D34">
        <v>9</v>
      </c>
      <c r="E34">
        <f>_xlfn.XLOOKUP(C34,Products[ProductID],Products[UnitPrice])</f>
        <v>10</v>
      </c>
      <c r="F34">
        <f t="shared" si="0"/>
        <v>90</v>
      </c>
    </row>
    <row r="35" spans="1:6" x14ac:dyDescent="0.3">
      <c r="A35">
        <v>5034</v>
      </c>
      <c r="B35">
        <v>1019</v>
      </c>
      <c r="C35">
        <v>110</v>
      </c>
      <c r="D35">
        <v>9</v>
      </c>
      <c r="E35">
        <f>_xlfn.XLOOKUP(C35,Products[ProductID],Products[UnitPrice])</f>
        <v>30</v>
      </c>
      <c r="F35">
        <f t="shared" si="0"/>
        <v>270</v>
      </c>
    </row>
    <row r="36" spans="1:6" x14ac:dyDescent="0.3">
      <c r="A36">
        <v>5035</v>
      </c>
      <c r="B36">
        <v>1009</v>
      </c>
      <c r="C36">
        <v>101</v>
      </c>
      <c r="D36">
        <v>10</v>
      </c>
      <c r="E36">
        <f>_xlfn.XLOOKUP(C36,Products[ProductID],Products[UnitPrice])</f>
        <v>18</v>
      </c>
      <c r="F36">
        <f t="shared" si="0"/>
        <v>180</v>
      </c>
    </row>
    <row r="37" spans="1:6" x14ac:dyDescent="0.3">
      <c r="A37">
        <v>5036</v>
      </c>
      <c r="B37">
        <v>1016</v>
      </c>
      <c r="C37">
        <v>105</v>
      </c>
      <c r="D37">
        <v>3</v>
      </c>
      <c r="E37">
        <f>_xlfn.XLOOKUP(C37,Products[ProductID],Products[UnitPrice])</f>
        <v>21.35</v>
      </c>
      <c r="F37">
        <f t="shared" si="0"/>
        <v>64.050000000000011</v>
      </c>
    </row>
    <row r="38" spans="1:6" x14ac:dyDescent="0.3">
      <c r="A38">
        <v>5037</v>
      </c>
      <c r="B38">
        <v>1004</v>
      </c>
      <c r="C38">
        <v>111</v>
      </c>
      <c r="D38">
        <v>1</v>
      </c>
      <c r="E38">
        <f>_xlfn.XLOOKUP(C38,Products[ProductID],Products[UnitPrice])</f>
        <v>12.5</v>
      </c>
      <c r="F38">
        <f t="shared" si="0"/>
        <v>12.5</v>
      </c>
    </row>
    <row r="39" spans="1:6" x14ac:dyDescent="0.3">
      <c r="A39">
        <v>5038</v>
      </c>
      <c r="B39">
        <v>1001</v>
      </c>
      <c r="C39">
        <v>105</v>
      </c>
      <c r="D39">
        <v>9</v>
      </c>
      <c r="E39">
        <f>_xlfn.XLOOKUP(C39,Products[ProductID],Products[UnitPrice])</f>
        <v>21.35</v>
      </c>
      <c r="F39">
        <f t="shared" si="0"/>
        <v>192.15</v>
      </c>
    </row>
    <row r="40" spans="1:6" x14ac:dyDescent="0.3">
      <c r="A40">
        <v>5039</v>
      </c>
      <c r="B40">
        <v>1018</v>
      </c>
      <c r="C40">
        <v>107</v>
      </c>
      <c r="D40">
        <v>8</v>
      </c>
      <c r="E40">
        <f>_xlfn.XLOOKUP(C40,Products[ProductID],Products[UnitPrice])</f>
        <v>10</v>
      </c>
      <c r="F40">
        <f t="shared" si="0"/>
        <v>80</v>
      </c>
    </row>
    <row r="41" spans="1:6" x14ac:dyDescent="0.3">
      <c r="A41">
        <v>5040</v>
      </c>
      <c r="B41">
        <v>1016</v>
      </c>
      <c r="C41">
        <v>107</v>
      </c>
      <c r="D41">
        <v>8</v>
      </c>
      <c r="E41">
        <f>_xlfn.XLOOKUP(C41,Products[ProductID],Products[UnitPrice])</f>
        <v>10</v>
      </c>
      <c r="F41">
        <f t="shared" si="0"/>
        <v>80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EA380-41F3-48AA-B1C9-3F82FCA77EED}">
  <sheetPr codeName="Sheet7"/>
  <dimension ref="A1:B1"/>
  <sheetViews>
    <sheetView workbookViewId="0"/>
  </sheetViews>
  <sheetFormatPr defaultRowHeight="14.4" x14ac:dyDescent="0.3"/>
  <sheetData>
    <row r="1" spans="1:2" x14ac:dyDescent="0.3">
      <c r="A1" t="s">
        <v>56</v>
      </c>
      <c r="B1">
        <v>0.08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B946-0AA2-4BE6-8536-B4B09ECA8166}">
  <sheetPr codeName="Sheet8"/>
  <dimension ref="A1:B7"/>
  <sheetViews>
    <sheetView workbookViewId="0"/>
  </sheetViews>
  <sheetFormatPr defaultRowHeight="14.4" x14ac:dyDescent="0.3"/>
  <sheetData>
    <row r="1" spans="1:2" x14ac:dyDescent="0.3">
      <c r="A1" t="s">
        <v>57</v>
      </c>
      <c r="B1">
        <f>ROUND(SUM(OrderDetails[LineTotal])*(1+TaxRate),2)</f>
        <v>5564</v>
      </c>
    </row>
    <row r="3" spans="1:2" x14ac:dyDescent="0.3">
      <c r="A3" t="s">
        <v>58</v>
      </c>
      <c r="B3" t="s">
        <v>59</v>
      </c>
    </row>
    <row r="4" spans="1:2" x14ac:dyDescent="0.3">
      <c r="A4" t="s">
        <v>21</v>
      </c>
      <c r="B4">
        <f>COUNTIF(Products[CategoryID],1)</f>
        <v>3</v>
      </c>
    </row>
    <row r="5" spans="1:2" x14ac:dyDescent="0.3">
      <c r="A5" t="s">
        <v>22</v>
      </c>
      <c r="B5">
        <f>COUNTIF(Products[CategoryID],2)</f>
        <v>3</v>
      </c>
    </row>
    <row r="6" spans="1:2" x14ac:dyDescent="0.3">
      <c r="A6" t="s">
        <v>23</v>
      </c>
      <c r="B6">
        <f>COUNTIF(Products[CategoryID],3)</f>
        <v>3</v>
      </c>
    </row>
    <row r="7" spans="1:2" x14ac:dyDescent="0.3">
      <c r="A7" t="s">
        <v>24</v>
      </c>
      <c r="B7">
        <f>COUNTIF(Products[CategoryID],4)</f>
        <v>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CE6CA-6C2F-47A9-8D02-31037CE6C832}">
  <sheetPr codeName="Sheet9"/>
  <dimension ref="A1:B6"/>
  <sheetViews>
    <sheetView tabSelected="1" workbookViewId="0"/>
  </sheetViews>
  <sheetFormatPr defaultRowHeight="14.4" x14ac:dyDescent="0.3"/>
  <cols>
    <col min="1" max="1" width="12.44140625" bestFit="1" customWidth="1"/>
    <col min="2" max="2" width="16.5546875" bestFit="1" customWidth="1"/>
  </cols>
  <sheetData>
    <row r="1" spans="1:2" x14ac:dyDescent="0.3">
      <c r="A1" s="2" t="s">
        <v>60</v>
      </c>
      <c r="B1" t="s">
        <v>62</v>
      </c>
    </row>
    <row r="2" spans="1:2" x14ac:dyDescent="0.3">
      <c r="A2" s="3">
        <v>1</v>
      </c>
      <c r="B2" s="4">
        <v>3</v>
      </c>
    </row>
    <row r="3" spans="1:2" x14ac:dyDescent="0.3">
      <c r="A3" s="3">
        <v>2</v>
      </c>
      <c r="B3" s="4">
        <v>3</v>
      </c>
    </row>
    <row r="4" spans="1:2" x14ac:dyDescent="0.3">
      <c r="A4" s="3">
        <v>3</v>
      </c>
      <c r="B4" s="4">
        <v>3</v>
      </c>
    </row>
    <row r="5" spans="1:2" x14ac:dyDescent="0.3">
      <c r="A5" s="3">
        <v>4</v>
      </c>
      <c r="B5" s="4">
        <v>3</v>
      </c>
    </row>
    <row r="6" spans="1:2" x14ac:dyDescent="0.3">
      <c r="A6" s="3" t="s">
        <v>61</v>
      </c>
      <c r="B6" s="4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Customers</vt:lpstr>
      <vt:lpstr>Categories</vt:lpstr>
      <vt:lpstr>Products</vt:lpstr>
      <vt:lpstr>Employees</vt:lpstr>
      <vt:lpstr>Orders</vt:lpstr>
      <vt:lpstr>OrderDetails</vt:lpstr>
      <vt:lpstr>Lookups</vt:lpstr>
      <vt:lpstr>Dashboard</vt:lpstr>
      <vt:lpstr>PivotSheet</vt:lpstr>
      <vt:lpstr>TaxRate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Colozzi, John L.</dc:creator>
  <cp:lastModifiedBy>Colozzi, John L.</cp:lastModifiedBy>
  <dcterms:created xsi:type="dcterms:W3CDTF">2026-07-17T18:11:06Z</dcterms:created>
  <dcterms:modified xsi:type="dcterms:W3CDTF">2026-07-17T18:11:33Z</dcterms:modified>
</cp:coreProperties>
</file>